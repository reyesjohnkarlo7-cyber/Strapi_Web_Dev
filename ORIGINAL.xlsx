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9B357E5D-446D-4692-BBF2-A7A3B2CFEE8C}" xr6:coauthVersionLast="47" xr6:coauthVersionMax="47" xr10:uidLastSave="{00000000-0000-0000-0000-000000000000}"/>
  <bookViews>
    <workbookView xWindow="-120" yWindow="-120" windowWidth="20640" windowHeight="11160" xr2:uid="{D27E548D-6EF7-491C-BDE7-9CD6CBB5A24E}"/>
  </bookViews>
  <sheets>
    <sheet name="VLOOK,AVE,M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" i="2" l="1"/>
  <c r="Y10" i="2"/>
  <c r="X10" i="2"/>
  <c r="V10" i="2"/>
  <c r="U10" i="2"/>
  <c r="S10" i="2"/>
  <c r="M10" i="2"/>
  <c r="G10" i="2"/>
  <c r="F10" i="2"/>
  <c r="V23" i="2"/>
  <c r="V31" i="2"/>
  <c r="V30" i="2"/>
  <c r="V29" i="2"/>
  <c r="V27" i="2"/>
  <c r="Z12" i="2"/>
  <c r="Z13" i="2"/>
  <c r="Z14" i="2"/>
  <c r="Z15" i="2"/>
  <c r="Z16" i="2"/>
  <c r="Z17" i="2"/>
  <c r="Z18" i="2"/>
  <c r="Z19" i="2"/>
  <c r="Z20" i="2"/>
  <c r="Z21" i="2"/>
  <c r="Z22" i="2"/>
  <c r="Z24" i="2"/>
  <c r="Y11" i="2"/>
  <c r="Z11" i="2" s="1"/>
  <c r="Y12" i="2"/>
  <c r="Y13" i="2"/>
  <c r="Y14" i="2"/>
  <c r="Y15" i="2"/>
  <c r="Y16" i="2"/>
  <c r="Y17" i="2"/>
  <c r="Y18" i="2"/>
  <c r="Y19" i="2"/>
  <c r="Y20" i="2"/>
  <c r="Y21" i="2"/>
  <c r="Y22" i="2"/>
  <c r="Y23" i="2"/>
  <c r="Y31" i="2" s="1"/>
  <c r="Y24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L8" i="2"/>
  <c r="M11" i="2" s="1"/>
  <c r="V11" i="2" s="1"/>
  <c r="Z23" i="2" l="1"/>
  <c r="Y27" i="2"/>
  <c r="Y30" i="2"/>
  <c r="Y29" i="2"/>
  <c r="M21" i="2"/>
  <c r="V21" i="2" s="1"/>
  <c r="M16" i="2"/>
  <c r="V16" i="2" s="1"/>
  <c r="M20" i="2"/>
  <c r="V20" i="2" s="1"/>
  <c r="M14" i="2"/>
  <c r="V14" i="2" s="1"/>
  <c r="M24" i="2"/>
  <c r="V24" i="2" s="1"/>
  <c r="M18" i="2"/>
  <c r="V18" i="2" s="1"/>
  <c r="M13" i="2"/>
  <c r="V13" i="2" s="1"/>
  <c r="M22" i="2"/>
  <c r="V22" i="2" s="1"/>
  <c r="M17" i="2"/>
  <c r="V17" i="2" s="1"/>
  <c r="M12" i="2"/>
  <c r="V12" i="2" s="1"/>
  <c r="M23" i="2"/>
  <c r="M19" i="2"/>
  <c r="V19" i="2" s="1"/>
  <c r="M15" i="2"/>
  <c r="V15" i="2" s="1"/>
  <c r="R8" i="2"/>
</calcChain>
</file>

<file path=xl/sharedStrings.xml><?xml version="1.0" encoding="utf-8"?>
<sst xmlns="http://schemas.openxmlformats.org/spreadsheetml/2006/main" count="104" uniqueCount="83">
  <si>
    <t>VLOOKUP FUNCTION</t>
  </si>
  <si>
    <t>NAME OF STUDENT</t>
  </si>
  <si>
    <t>AVERAGE</t>
  </si>
  <si>
    <t>SEARCH</t>
  </si>
  <si>
    <t>NUMBER OF PASSED</t>
  </si>
  <si>
    <t>DATE:</t>
  </si>
  <si>
    <t>HIGHEST STUDENT</t>
  </si>
  <si>
    <t>NAME:</t>
  </si>
  <si>
    <t>GRADE:</t>
  </si>
  <si>
    <t>REMARKS:</t>
  </si>
  <si>
    <t>NUMBER OF FAILED</t>
  </si>
  <si>
    <t>TIME:</t>
  </si>
  <si>
    <t>LOWEST STUDENT</t>
  </si>
  <si>
    <t>GRADING SHEET</t>
  </si>
  <si>
    <t>SCHEDULE :</t>
  </si>
  <si>
    <t>MONDAY - 7:30 AM - 10:30 AM</t>
  </si>
  <si>
    <t>WEDNESDAY - 4:00 PM - 6:00 PM</t>
  </si>
  <si>
    <t>MIDTERM</t>
  </si>
  <si>
    <t>STUDENT INFORMATION</t>
  </si>
  <si>
    <t>ATTENDANCE</t>
  </si>
  <si>
    <t>ACTIVITIES / SITWORK</t>
  </si>
  <si>
    <t>QUIZ</t>
  </si>
  <si>
    <t>LONG TEST</t>
  </si>
  <si>
    <t>CLASS STANDING</t>
  </si>
  <si>
    <t>MIDTERM EXAM</t>
  </si>
  <si>
    <t>MIDTERM GRADE</t>
  </si>
  <si>
    <t>REMARKS</t>
  </si>
  <si>
    <t>#</t>
  </si>
  <si>
    <t>SECTION</t>
  </si>
  <si>
    <t>STUDENT NUMBER</t>
  </si>
  <si>
    <t>NAME OF STUDENTS</t>
  </si>
  <si>
    <t>Points</t>
  </si>
  <si>
    <t>Score</t>
  </si>
  <si>
    <t>Grade 100%</t>
  </si>
  <si>
    <t>Number of Absent</t>
  </si>
  <si>
    <t xml:space="preserve">Activity 1 </t>
  </si>
  <si>
    <t xml:space="preserve">Activity 2 </t>
  </si>
  <si>
    <t>Activity 3</t>
  </si>
  <si>
    <t xml:space="preserve">Activity 4 </t>
  </si>
  <si>
    <t>Total Activity</t>
  </si>
  <si>
    <t xml:space="preserve">QUIZ 1 </t>
  </si>
  <si>
    <t xml:space="preserve">QUIZ 2 </t>
  </si>
  <si>
    <r>
      <t>QUIZ 3</t>
    </r>
    <r>
      <rPr>
        <b/>
        <sz val="8"/>
        <color theme="1"/>
        <rFont val="Aptos Narrow"/>
        <family val="2"/>
        <scheme val="minor"/>
      </rPr>
      <t xml:space="preserve"> </t>
    </r>
  </si>
  <si>
    <t>QUIZ 4</t>
  </si>
  <si>
    <t>Total Quiz</t>
  </si>
  <si>
    <t>Total exam</t>
  </si>
  <si>
    <t>BSIT-1D</t>
  </si>
  <si>
    <t>AVERAGE:</t>
  </si>
  <si>
    <t>MINUMUM</t>
  </si>
  <si>
    <t>MAXIMUM</t>
  </si>
  <si>
    <t>COUNT</t>
  </si>
  <si>
    <t>22-00451</t>
  </si>
  <si>
    <t>Anderson, Lily, M.</t>
  </si>
  <si>
    <t>22-00452</t>
  </si>
  <si>
    <t>Baker, Noah, J.</t>
  </si>
  <si>
    <t>22-00453</t>
  </si>
  <si>
    <t>Carter, Emma, S.</t>
  </si>
  <si>
    <t>22-00454</t>
  </si>
  <si>
    <t>Davis, Mason, T.</t>
  </si>
  <si>
    <t>22-00455</t>
  </si>
  <si>
    <t>Edwards, Ava, L.</t>
  </si>
  <si>
    <t>22-00456</t>
  </si>
  <si>
    <t>Foster, Lucas, P.</t>
  </si>
  <si>
    <t>22-00457</t>
  </si>
  <si>
    <t>Gray, Mia, R.</t>
  </si>
  <si>
    <t>22-00458</t>
  </si>
  <si>
    <t>Hall, Oliver, K.</t>
  </si>
  <si>
    <t>22-00459</t>
  </si>
  <si>
    <t>Jenkins, Sophia, B.</t>
  </si>
  <si>
    <t>22-00460</t>
  </si>
  <si>
    <t>King, Elijah, W.</t>
  </si>
  <si>
    <t>22-00461</t>
  </si>
  <si>
    <t>Lewis, Amelia, D.</t>
  </si>
  <si>
    <t>22-00462</t>
  </si>
  <si>
    <t>Mitchell, James, V.</t>
  </si>
  <si>
    <t>22-00463</t>
  </si>
  <si>
    <t>Nelson, Harper, Q.</t>
  </si>
  <si>
    <t>22-00464</t>
  </si>
  <si>
    <t>Owens, Jack, N.</t>
  </si>
  <si>
    <t>22-00465</t>
  </si>
  <si>
    <t>Parker, Ella, F.</t>
  </si>
  <si>
    <t>COMPUTER APPLICATION 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</si>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</sst>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%"/>
    <numFmt numFmtId="166" formatCode="0.00_);[Red]\(0.00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DLaM Display"/>
    </font>
    <font>
      <sz val="11"/>
      <color rgb="FF00B05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theme="1"/>
      <name val="Amasis MT Pro"/>
      <family val="1"/>
    </font>
    <font>
      <b/>
      <u/>
      <sz val="14"/>
      <color theme="1"/>
      <name val="Times New Roman"/>
      <family val="1"/>
    </font>
    <font>
      <b/>
      <sz val="16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i/>
      <u/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volini"/>
      <family val="4"/>
    </font>
    <font>
      <b/>
      <sz val="11"/>
      <color theme="1"/>
      <name val="Cavolini"/>
      <family val="4"/>
    </font>
    <font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5" fillId="0" borderId="0" xfId="1" applyFont="1"/>
    <xf numFmtId="0" fontId="2" fillId="4" borderId="3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7" borderId="7" xfId="0" applyFont="1" applyFill="1" applyBorder="1" applyAlignment="1">
      <alignment horizontal="left" vertical="center"/>
    </xf>
    <xf numFmtId="9" fontId="0" fillId="0" borderId="8" xfId="1" applyFont="1" applyBorder="1" applyAlignment="1">
      <alignment horizontal="left" vertical="center"/>
    </xf>
    <xf numFmtId="0" fontId="0" fillId="0" borderId="8" xfId="0" applyBorder="1"/>
    <xf numFmtId="165" fontId="5" fillId="0" borderId="8" xfId="1" applyNumberFormat="1" applyFont="1" applyBorder="1"/>
    <xf numFmtId="0" fontId="5" fillId="0" borderId="8" xfId="0" applyFont="1" applyBorder="1"/>
    <xf numFmtId="9" fontId="5" fillId="0" borderId="8" xfId="1" applyFont="1" applyBorder="1"/>
    <xf numFmtId="0" fontId="0" fillId="0" borderId="9" xfId="0" applyBorder="1"/>
    <xf numFmtId="0" fontId="0" fillId="0" borderId="13" xfId="0" applyBorder="1"/>
    <xf numFmtId="0" fontId="0" fillId="0" borderId="10" xfId="0" applyBorder="1" applyAlignment="1">
      <alignment horizontal="center" vertical="center"/>
    </xf>
    <xf numFmtId="9" fontId="0" fillId="0" borderId="10" xfId="1" applyFont="1" applyBorder="1" applyAlignment="1">
      <alignment horizontal="left"/>
    </xf>
    <xf numFmtId="0" fontId="0" fillId="0" borderId="10" xfId="0" applyBorder="1"/>
    <xf numFmtId="165" fontId="5" fillId="0" borderId="10" xfId="1" applyNumberFormat="1" applyFont="1" applyBorder="1"/>
    <xf numFmtId="0" fontId="5" fillId="0" borderId="10" xfId="0" applyFont="1" applyBorder="1"/>
    <xf numFmtId="9" fontId="5" fillId="0" borderId="10" xfId="1" applyFont="1" applyBorder="1"/>
    <xf numFmtId="0" fontId="0" fillId="0" borderId="11" xfId="0" applyBorder="1"/>
    <xf numFmtId="166" fontId="11" fillId="9" borderId="2" xfId="0" applyNumberFormat="1" applyFont="1" applyFill="1" applyBorder="1" applyAlignment="1">
      <alignment horizontal="center" vertical="center" wrapText="1"/>
    </xf>
    <xf numFmtId="9" fontId="2" fillId="11" borderId="2" xfId="1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166" fontId="15" fillId="11" borderId="2" xfId="0" applyNumberFormat="1" applyFont="1" applyFill="1" applyBorder="1" applyAlignment="1">
      <alignment horizontal="center" vertical="center" wrapText="1"/>
    </xf>
    <xf numFmtId="166" fontId="2" fillId="11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0" fontId="16" fillId="10" borderId="2" xfId="1" applyNumberFormat="1" applyFont="1" applyFill="1" applyBorder="1" applyAlignment="1">
      <alignment horizontal="center" vertical="center"/>
    </xf>
    <xf numFmtId="9" fontId="16" fillId="0" borderId="2" xfId="0" applyNumberFormat="1" applyFont="1" applyBorder="1" applyAlignment="1">
      <alignment horizontal="center" vertical="center"/>
    </xf>
    <xf numFmtId="10" fontId="0" fillId="8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2"/>
    </xf>
    <xf numFmtId="0" fontId="16" fillId="0" borderId="0" xfId="0" applyFont="1" applyAlignment="1">
      <alignment horizontal="center" vertical="center"/>
    </xf>
    <xf numFmtId="165" fontId="16" fillId="0" borderId="0" xfId="1" applyNumberFormat="1" applyFont="1" applyFill="1" applyBorder="1" applyAlignment="1">
      <alignment horizontal="center" vertical="center"/>
    </xf>
    <xf numFmtId="9" fontId="16" fillId="0" borderId="0" xfId="1" applyFont="1" applyFill="1" applyBorder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10" fontId="0" fillId="0" borderId="0" xfId="1" applyNumberFormat="1" applyFont="1" applyFill="1" applyBorder="1" applyAlignment="1">
      <alignment horizontal="center" vertical="center"/>
    </xf>
    <xf numFmtId="165" fontId="5" fillId="0" borderId="0" xfId="1" applyNumberFormat="1" applyFont="1" applyFill="1"/>
    <xf numFmtId="0" fontId="5" fillId="0" borderId="0" xfId="0" applyFont="1"/>
    <xf numFmtId="165" fontId="5" fillId="0" borderId="0" xfId="1" applyNumberFormat="1" applyFont="1" applyBorder="1"/>
    <xf numFmtId="0" fontId="17" fillId="0" borderId="0" xfId="0" applyFont="1"/>
    <xf numFmtId="0" fontId="2" fillId="0" borderId="0" xfId="0" applyFont="1"/>
    <xf numFmtId="165" fontId="5" fillId="0" borderId="0" xfId="1" applyNumberFormat="1" applyFont="1"/>
    <xf numFmtId="10" fontId="2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19" fillId="6" borderId="2" xfId="0" applyFont="1" applyFill="1" applyBorder="1" applyAlignment="1">
      <alignment horizontal="center" vertical="center"/>
    </xf>
    <xf numFmtId="10" fontId="19" fillId="6" borderId="12" xfId="1" applyNumberFormat="1" applyFont="1" applyFill="1" applyBorder="1" applyAlignment="1">
      <alignment horizontal="center" vertical="center"/>
    </xf>
    <xf numFmtId="10" fontId="19" fillId="6" borderId="2" xfId="1" applyNumberFormat="1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/>
    </xf>
    <xf numFmtId="0" fontId="20" fillId="11" borderId="2" xfId="1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10" fontId="14" fillId="10" borderId="2" xfId="1" applyNumberFormat="1" applyFont="1" applyFill="1" applyBorder="1" applyAlignment="1">
      <alignment vertical="center"/>
    </xf>
    <xf numFmtId="9" fontId="2" fillId="11" borderId="2" xfId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10" fontId="2" fillId="0" borderId="9" xfId="0" applyNumberFormat="1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textRotation="90"/>
    </xf>
    <xf numFmtId="0" fontId="12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 textRotation="90"/>
    </xf>
    <xf numFmtId="49" fontId="2" fillId="11" borderId="2" xfId="0" applyNumberFormat="1" applyFont="1" applyFill="1" applyBorder="1" applyAlignment="1">
      <alignment horizontal="center" vertical="center" textRotation="45" wrapText="1"/>
    </xf>
    <xf numFmtId="0" fontId="2" fillId="11" borderId="2" xfId="0" applyFont="1" applyFill="1" applyBorder="1" applyAlignment="1">
      <alignment horizontal="center" vertical="center" textRotation="45" wrapText="1"/>
    </xf>
    <xf numFmtId="10" fontId="14" fillId="10" borderId="2" xfId="1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166" fontId="10" fillId="9" borderId="2" xfId="0" applyNumberFormat="1" applyFont="1" applyFill="1" applyBorder="1" applyAlignment="1">
      <alignment horizontal="center" vertical="center"/>
    </xf>
    <xf numFmtId="166" fontId="10" fillId="9" borderId="2" xfId="0" applyNumberFormat="1" applyFont="1" applyFill="1" applyBorder="1" applyAlignment="1">
      <alignment horizontal="center" vertical="center" wrapText="1"/>
    </xf>
    <xf numFmtId="9" fontId="2" fillId="11" borderId="2" xfId="1" applyFont="1" applyFill="1" applyBorder="1" applyAlignment="1">
      <alignment horizontal="center" vertical="center" wrapText="1"/>
    </xf>
    <xf numFmtId="9" fontId="2" fillId="8" borderId="2" xfId="1" applyFont="1" applyFill="1" applyBorder="1" applyAlignment="1">
      <alignment horizontal="center" vertical="center" wrapText="1"/>
    </xf>
    <xf numFmtId="164" fontId="19" fillId="7" borderId="8" xfId="0" applyNumberFormat="1" applyFont="1" applyFill="1" applyBorder="1" applyAlignment="1">
      <alignment horizontal="center" vertical="center"/>
    </xf>
    <xf numFmtId="164" fontId="19" fillId="7" borderId="9" xfId="0" applyNumberFormat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9" fontId="0" fillId="0" borderId="8" xfId="1" applyFont="1" applyBorder="1" applyAlignment="1">
      <alignment horizontal="left" vertical="center"/>
    </xf>
    <xf numFmtId="9" fontId="0" fillId="0" borderId="10" xfId="1" applyFont="1" applyBorder="1" applyAlignment="1">
      <alignment horizontal="left"/>
    </xf>
    <xf numFmtId="0" fontId="9" fillId="8" borderId="14" xfId="0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0" fontId="18" fillId="7" borderId="0" xfId="1" applyNumberFormat="1" applyFont="1" applyFill="1" applyBorder="1" applyAlignment="1">
      <alignment horizontal="center" vertical="center"/>
    </xf>
    <xf numFmtId="10" fontId="18" fillId="7" borderId="1" xfId="1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left" vertical="center" wrapText="1"/>
    </xf>
    <xf numFmtId="0" fontId="2" fillId="7" borderId="8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14" fontId="19" fillId="4" borderId="4" xfId="0" applyNumberFormat="1" applyFont="1" applyFill="1" applyBorder="1" applyAlignment="1">
      <alignment horizontal="center" vertical="center"/>
    </xf>
    <xf numFmtId="14" fontId="19" fillId="4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267A-A8F8-4653-AFB4-DAB9B84488A6}">
  <sheetPr codeName="Sheet10"/>
  <dimension ref="A1:AI38"/>
  <sheetViews>
    <sheetView tabSelected="1" topLeftCell="F11" zoomScale="84" zoomScaleNormal="84" zoomScaleSheetLayoutView="130" workbookViewId="0">
      <selection activeCell="Z10" sqref="Z10"/>
    </sheetView>
  </sheetViews>
  <sheetFormatPr defaultRowHeight="15" x14ac:dyDescent="0.25"/>
  <cols>
    <col min="1" max="1" width="3" bestFit="1" customWidth="1"/>
    <col min="2" max="2" width="6.85546875" customWidth="1"/>
    <col min="3" max="3" width="13.85546875" customWidth="1"/>
    <col min="4" max="4" width="31.28515625" customWidth="1"/>
    <col min="5" max="5" width="11" customWidth="1"/>
    <col min="6" max="6" width="9.42578125" style="2" customWidth="1"/>
    <col min="7" max="7" width="7.140625" style="46" bestFit="1" customWidth="1"/>
    <col min="8" max="8" width="9.7109375" customWidth="1"/>
    <col min="9" max="9" width="8.7109375" customWidth="1"/>
    <col min="10" max="11" width="9.140625" customWidth="1"/>
    <col min="12" max="12" width="7.7109375" customWidth="1"/>
    <col min="13" max="13" width="7.140625" style="46" bestFit="1" customWidth="1"/>
    <col min="14" max="14" width="8.7109375" customWidth="1"/>
    <col min="15" max="15" width="8.28515625" customWidth="1"/>
    <col min="16" max="17" width="7.7109375" customWidth="1"/>
    <col min="18" max="18" width="5.28515625" bestFit="1" customWidth="1"/>
    <col min="19" max="19" width="8" style="42" bestFit="1" customWidth="1"/>
    <col min="20" max="20" width="6" bestFit="1" customWidth="1"/>
    <col min="21" max="21" width="7.140625" style="3" bestFit="1" customWidth="1"/>
    <col min="22" max="22" width="11.140625" customWidth="1"/>
    <col min="23" max="23" width="6" bestFit="1" customWidth="1"/>
    <col min="24" max="24" width="8.140625" style="3" bestFit="1" customWidth="1"/>
    <col min="25" max="25" width="9.5703125" customWidth="1"/>
  </cols>
  <sheetData>
    <row r="1" spans="1:26" ht="25.9" customHeight="1" x14ac:dyDescent="0.25">
      <c r="A1" s="109" t="s">
        <v>0</v>
      </c>
      <c r="B1" s="109"/>
      <c r="C1" s="110"/>
      <c r="D1" s="1" t="s">
        <v>1</v>
      </c>
      <c r="E1" s="1" t="s">
        <v>2</v>
      </c>
      <c r="G1" s="111" t="s">
        <v>3</v>
      </c>
      <c r="H1" s="112"/>
      <c r="I1" s="112"/>
      <c r="J1" s="113"/>
      <c r="K1" s="113"/>
      <c r="L1" s="113"/>
      <c r="M1" s="113"/>
      <c r="N1" s="113"/>
      <c r="O1" s="113"/>
      <c r="P1" s="114"/>
      <c r="S1" s="115" t="s">
        <v>4</v>
      </c>
      <c r="T1" s="116"/>
      <c r="U1" s="62"/>
      <c r="X1" s="4" t="s">
        <v>5</v>
      </c>
      <c r="Y1" s="117"/>
      <c r="Z1" s="118"/>
    </row>
    <row r="2" spans="1:26" ht="25.9" customHeight="1" x14ac:dyDescent="0.25">
      <c r="A2" s="102" t="s">
        <v>6</v>
      </c>
      <c r="B2" s="102"/>
      <c r="C2" s="102"/>
      <c r="D2" s="55"/>
      <c r="E2" s="57"/>
      <c r="G2" s="5" t="s">
        <v>7</v>
      </c>
      <c r="H2" s="103"/>
      <c r="I2" s="103"/>
      <c r="J2" s="104"/>
      <c r="K2" s="5" t="s">
        <v>8</v>
      </c>
      <c r="L2" s="105"/>
      <c r="M2" s="106"/>
      <c r="N2" s="6" t="s">
        <v>9</v>
      </c>
      <c r="O2" s="105"/>
      <c r="P2" s="106"/>
      <c r="S2" s="107" t="s">
        <v>10</v>
      </c>
      <c r="T2" s="108"/>
      <c r="U2" s="63"/>
      <c r="W2" s="3"/>
      <c r="X2" s="7" t="s">
        <v>11</v>
      </c>
      <c r="Y2" s="88"/>
      <c r="Z2" s="89"/>
    </row>
    <row r="3" spans="1:26" ht="25.9" customHeight="1" x14ac:dyDescent="0.25">
      <c r="A3" s="90" t="s">
        <v>12</v>
      </c>
      <c r="B3" s="90"/>
      <c r="C3" s="91"/>
      <c r="D3" s="55"/>
      <c r="E3" s="56"/>
      <c r="F3" s="92" t="s">
        <v>13</v>
      </c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4"/>
    </row>
    <row r="4" spans="1:26" x14ac:dyDescent="0.25">
      <c r="A4" s="95" t="s">
        <v>81</v>
      </c>
      <c r="B4" s="95"/>
      <c r="C4" s="95"/>
      <c r="D4" s="96"/>
      <c r="E4" s="97" t="s">
        <v>14</v>
      </c>
      <c r="F4" s="98"/>
      <c r="G4" s="99" t="s">
        <v>15</v>
      </c>
      <c r="H4" s="99"/>
      <c r="I4" s="99"/>
      <c r="J4" s="99"/>
      <c r="K4" s="8"/>
      <c r="L4" s="9"/>
      <c r="M4" s="10"/>
      <c r="N4" s="9"/>
      <c r="O4" s="9"/>
      <c r="P4" s="9"/>
      <c r="Q4" s="9"/>
      <c r="R4" s="9"/>
      <c r="S4" s="11"/>
      <c r="T4" s="9"/>
      <c r="U4" s="12"/>
      <c r="V4" s="9"/>
      <c r="W4" s="9"/>
      <c r="X4" s="12"/>
      <c r="Y4" s="9"/>
      <c r="Z4" s="13"/>
    </row>
    <row r="5" spans="1:26" x14ac:dyDescent="0.25">
      <c r="A5" s="95"/>
      <c r="B5" s="95"/>
      <c r="C5" s="95"/>
      <c r="D5" s="96"/>
      <c r="E5" s="14"/>
      <c r="F5" s="15"/>
      <c r="G5" s="100" t="s">
        <v>16</v>
      </c>
      <c r="H5" s="100"/>
      <c r="I5" s="100"/>
      <c r="J5" s="100"/>
      <c r="K5" s="16"/>
      <c r="L5" s="17"/>
      <c r="M5" s="18"/>
      <c r="N5" s="17"/>
      <c r="O5" s="17"/>
      <c r="P5" s="17"/>
      <c r="Q5" s="17"/>
      <c r="R5" s="17"/>
      <c r="S5" s="19"/>
      <c r="T5" s="17"/>
      <c r="U5" s="20"/>
      <c r="V5" s="17"/>
      <c r="W5" s="17"/>
      <c r="X5" s="20"/>
      <c r="Y5" s="17"/>
      <c r="Z5" s="21"/>
    </row>
    <row r="6" spans="1:26" ht="21" x14ac:dyDescent="0.35">
      <c r="A6" s="95"/>
      <c r="B6" s="95"/>
      <c r="C6" s="95"/>
      <c r="D6" s="95"/>
      <c r="E6" s="101" t="s">
        <v>17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spans="1:26" ht="27.6" customHeight="1" x14ac:dyDescent="0.25">
      <c r="A7" s="81" t="s">
        <v>18</v>
      </c>
      <c r="B7" s="82"/>
      <c r="C7" s="82"/>
      <c r="D7" s="83"/>
      <c r="E7" s="84" t="s">
        <v>19</v>
      </c>
      <c r="F7" s="84"/>
      <c r="G7" s="84"/>
      <c r="H7" s="85" t="s">
        <v>20</v>
      </c>
      <c r="I7" s="85"/>
      <c r="J7" s="85"/>
      <c r="K7" s="85"/>
      <c r="L7" s="85"/>
      <c r="M7" s="85"/>
      <c r="N7" s="85" t="s">
        <v>21</v>
      </c>
      <c r="O7" s="85"/>
      <c r="P7" s="85"/>
      <c r="Q7" s="85"/>
      <c r="R7" s="85"/>
      <c r="S7" s="85"/>
      <c r="T7" s="85" t="s">
        <v>22</v>
      </c>
      <c r="U7" s="85"/>
      <c r="V7" s="22" t="s">
        <v>23</v>
      </c>
      <c r="W7" s="85" t="s">
        <v>24</v>
      </c>
      <c r="X7" s="85"/>
      <c r="Y7" s="87" t="s">
        <v>25</v>
      </c>
      <c r="Z7" s="75" t="s">
        <v>26</v>
      </c>
    </row>
    <row r="8" spans="1:26" ht="24" customHeight="1" x14ac:dyDescent="0.25">
      <c r="A8" s="76" t="s">
        <v>27</v>
      </c>
      <c r="B8" s="77" t="s">
        <v>28</v>
      </c>
      <c r="C8" s="78" t="s">
        <v>29</v>
      </c>
      <c r="D8" s="79" t="s">
        <v>30</v>
      </c>
      <c r="E8" s="61" t="s">
        <v>31</v>
      </c>
      <c r="F8" s="59">
        <v>100</v>
      </c>
      <c r="G8" s="60">
        <v>5</v>
      </c>
      <c r="H8" s="59">
        <v>100</v>
      </c>
      <c r="I8" s="59">
        <v>50</v>
      </c>
      <c r="J8" s="59">
        <v>100</v>
      </c>
      <c r="K8" s="59">
        <v>100</v>
      </c>
      <c r="L8" s="58">
        <f>SUM(H8:K8)</f>
        <v>350</v>
      </c>
      <c r="M8" s="80">
        <v>0.2</v>
      </c>
      <c r="N8" s="59">
        <v>25</v>
      </c>
      <c r="O8" s="59">
        <v>30</v>
      </c>
      <c r="P8" s="59">
        <v>25</v>
      </c>
      <c r="Q8" s="59">
        <v>25</v>
      </c>
      <c r="R8" s="58">
        <f>SUM(N8:Q8)</f>
        <v>105</v>
      </c>
      <c r="S8" s="80">
        <v>0.2</v>
      </c>
      <c r="T8" s="25" t="s">
        <v>45</v>
      </c>
      <c r="U8" s="58">
        <v>60</v>
      </c>
      <c r="V8" s="86" t="s">
        <v>33</v>
      </c>
      <c r="W8" s="25" t="s">
        <v>45</v>
      </c>
      <c r="X8" s="58">
        <v>60</v>
      </c>
      <c r="Y8" s="87"/>
      <c r="Z8" s="75"/>
    </row>
    <row r="9" spans="1:26" ht="33" customHeight="1" x14ac:dyDescent="0.25">
      <c r="A9" s="76"/>
      <c r="B9" s="77"/>
      <c r="C9" s="78"/>
      <c r="D9" s="79"/>
      <c r="E9" s="24" t="s">
        <v>34</v>
      </c>
      <c r="F9" s="25" t="s">
        <v>19</v>
      </c>
      <c r="G9" s="64">
        <v>0.1</v>
      </c>
      <c r="H9" s="23" t="s">
        <v>35</v>
      </c>
      <c r="I9" s="23" t="s">
        <v>36</v>
      </c>
      <c r="J9" s="23" t="s">
        <v>37</v>
      </c>
      <c r="K9" s="23" t="s">
        <v>38</v>
      </c>
      <c r="L9" s="26" t="s">
        <v>39</v>
      </c>
      <c r="M9" s="80"/>
      <c r="N9" s="23" t="s">
        <v>40</v>
      </c>
      <c r="O9" s="23" t="s">
        <v>41</v>
      </c>
      <c r="P9" s="23" t="s">
        <v>42</v>
      </c>
      <c r="Q9" s="23" t="s">
        <v>43</v>
      </c>
      <c r="R9" s="26" t="s">
        <v>44</v>
      </c>
      <c r="S9" s="80"/>
      <c r="T9" s="65" t="s">
        <v>32</v>
      </c>
      <c r="U9" s="64">
        <v>0.5</v>
      </c>
      <c r="V9" s="86"/>
      <c r="W9" s="65" t="s">
        <v>32</v>
      </c>
      <c r="X9" s="64">
        <v>1</v>
      </c>
      <c r="Y9" s="87"/>
      <c r="Z9" s="75"/>
    </row>
    <row r="10" spans="1:26" x14ac:dyDescent="0.25">
      <c r="A10" s="27">
        <v>1</v>
      </c>
      <c r="B10" s="28" t="s">
        <v>46</v>
      </c>
      <c r="C10" s="28" t="s">
        <v>51</v>
      </c>
      <c r="D10" s="27" t="s">
        <v>52</v>
      </c>
      <c r="E10" s="30">
        <v>1</v>
      </c>
      <c r="F10" s="30">
        <f>$F$8-E10*$G$8</f>
        <v>95</v>
      </c>
      <c r="G10" s="31">
        <f>F10/$F$8*$G$9</f>
        <v>9.5000000000000001E-2</v>
      </c>
      <c r="H10" s="30">
        <v>100</v>
      </c>
      <c r="I10" s="30">
        <v>50</v>
      </c>
      <c r="J10" s="30">
        <v>80</v>
      </c>
      <c r="K10" s="30">
        <v>100</v>
      </c>
      <c r="L10" s="30">
        <f>SUM(H10:K10)</f>
        <v>330</v>
      </c>
      <c r="M10" s="31">
        <f>L10/$L$8*$M$8</f>
        <v>0.18857142857142858</v>
      </c>
      <c r="N10" s="30">
        <v>25</v>
      </c>
      <c r="O10" s="30">
        <v>25</v>
      </c>
      <c r="P10" s="30">
        <v>25</v>
      </c>
      <c r="Q10" s="30">
        <v>25</v>
      </c>
      <c r="R10" s="30">
        <f>SUM(N10:Q10)</f>
        <v>100</v>
      </c>
      <c r="S10" s="31">
        <f>R10/$R$8*$S$8</f>
        <v>0.19047619047619047</v>
      </c>
      <c r="T10" s="30">
        <v>20</v>
      </c>
      <c r="U10" s="31">
        <f>T10/$U$8*$U$9</f>
        <v>0.16666666666666666</v>
      </c>
      <c r="V10" s="32">
        <f>G10+M10+S10+U10</f>
        <v>0.64071428571428568</v>
      </c>
      <c r="W10" s="30">
        <v>20</v>
      </c>
      <c r="X10" s="31">
        <f>W10/$X$8</f>
        <v>0.33333333333333331</v>
      </c>
      <c r="Y10" s="33">
        <f>(V10*2+X10)/3</f>
        <v>0.53825396825396821</v>
      </c>
      <c r="Z10" s="29" t="str">
        <f>IF(Y10&gt;=74.5%,"PASSED","FAILED")</f>
        <v>FAILED</v>
      </c>
    </row>
    <row r="11" spans="1:26" x14ac:dyDescent="0.25">
      <c r="A11" s="27">
        <v>2</v>
      </c>
      <c r="B11" s="28" t="s">
        <v>46</v>
      </c>
      <c r="C11" s="28" t="s">
        <v>53</v>
      </c>
      <c r="D11" s="27" t="s">
        <v>54</v>
      </c>
      <c r="E11" s="29">
        <v>3</v>
      </c>
      <c r="F11" s="30">
        <f t="shared" ref="F11:F24" si="0">$F$8-E11*$G$8</f>
        <v>85</v>
      </c>
      <c r="G11" s="31">
        <f t="shared" ref="G11:G24" si="1">F11/$F$8*$G$9</f>
        <v>8.5000000000000006E-2</v>
      </c>
      <c r="H11" s="30">
        <v>90</v>
      </c>
      <c r="I11" s="30">
        <v>70</v>
      </c>
      <c r="J11" s="30">
        <v>90</v>
      </c>
      <c r="K11" s="30">
        <v>100</v>
      </c>
      <c r="L11" s="30">
        <f t="shared" ref="L11:L24" si="2">SUM(H11:K11)</f>
        <v>350</v>
      </c>
      <c r="M11" s="31">
        <f t="shared" ref="M11:M24" si="3">L11/$L$8*$M$8</f>
        <v>0.2</v>
      </c>
      <c r="N11" s="30">
        <v>10</v>
      </c>
      <c r="O11" s="30">
        <v>15</v>
      </c>
      <c r="P11" s="30">
        <v>20</v>
      </c>
      <c r="Q11" s="30">
        <v>25</v>
      </c>
      <c r="R11" s="30">
        <f t="shared" ref="R11:R24" si="4">SUM(N11:Q11)</f>
        <v>70</v>
      </c>
      <c r="S11" s="31">
        <f t="shared" ref="S11:S24" si="5">R11/$R$8*$S$8</f>
        <v>0.13333333333333333</v>
      </c>
      <c r="T11" s="29">
        <v>40</v>
      </c>
      <c r="U11" s="31">
        <f t="shared" ref="U11:U24" si="6">T11/$U$8*$U$9</f>
        <v>0.33333333333333331</v>
      </c>
      <c r="V11" s="32">
        <f t="shared" ref="V11:V24" si="7">G11+M11+S11+U11</f>
        <v>0.75166666666666671</v>
      </c>
      <c r="W11" s="29">
        <v>50</v>
      </c>
      <c r="X11" s="31">
        <f t="shared" ref="X11:X24" si="8">W11/$X$8</f>
        <v>0.83333333333333337</v>
      </c>
      <c r="Y11" s="33">
        <f t="shared" ref="Y11:Y24" si="9">(V11*2+X11)/3</f>
        <v>0.77888888888888896</v>
      </c>
      <c r="Z11" s="29" t="str">
        <f t="shared" ref="Z11:Z24" si="10">IF(Y11&gt;=74.5%,"PASSED","FAILED")</f>
        <v>PASSED</v>
      </c>
    </row>
    <row r="12" spans="1:26" x14ac:dyDescent="0.25">
      <c r="A12" s="27">
        <v>3</v>
      </c>
      <c r="B12" s="28" t="s">
        <v>46</v>
      </c>
      <c r="C12" s="28" t="s">
        <v>55</v>
      </c>
      <c r="D12" s="27" t="s">
        <v>56</v>
      </c>
      <c r="E12" s="29">
        <v>4</v>
      </c>
      <c r="F12" s="30">
        <f t="shared" si="0"/>
        <v>80</v>
      </c>
      <c r="G12" s="31">
        <f t="shared" si="1"/>
        <v>8.0000000000000016E-2</v>
      </c>
      <c r="H12" s="30">
        <v>70</v>
      </c>
      <c r="I12" s="30">
        <v>90</v>
      </c>
      <c r="J12" s="30">
        <v>70</v>
      </c>
      <c r="K12" s="30">
        <v>80</v>
      </c>
      <c r="L12" s="30">
        <f t="shared" si="2"/>
        <v>310</v>
      </c>
      <c r="M12" s="31">
        <f t="shared" si="3"/>
        <v>0.17714285714285716</v>
      </c>
      <c r="N12" s="30">
        <v>21</v>
      </c>
      <c r="O12" s="30">
        <v>25</v>
      </c>
      <c r="P12" s="30">
        <v>21</v>
      </c>
      <c r="Q12" s="30">
        <v>25</v>
      </c>
      <c r="R12" s="30">
        <f t="shared" si="4"/>
        <v>92</v>
      </c>
      <c r="S12" s="31">
        <f t="shared" si="5"/>
        <v>0.17523809523809525</v>
      </c>
      <c r="T12" s="29">
        <v>46</v>
      </c>
      <c r="U12" s="31">
        <f t="shared" si="6"/>
        <v>0.38333333333333336</v>
      </c>
      <c r="V12" s="32">
        <f t="shared" si="7"/>
        <v>0.81571428571428584</v>
      </c>
      <c r="W12" s="29">
        <v>56</v>
      </c>
      <c r="X12" s="31">
        <f t="shared" si="8"/>
        <v>0.93333333333333335</v>
      </c>
      <c r="Y12" s="33">
        <f t="shared" si="9"/>
        <v>0.85492063492063508</v>
      </c>
      <c r="Z12" s="29" t="str">
        <f t="shared" si="10"/>
        <v>PASSED</v>
      </c>
    </row>
    <row r="13" spans="1:26" x14ac:dyDescent="0.25">
      <c r="A13" s="27">
        <v>4</v>
      </c>
      <c r="B13" s="28" t="s">
        <v>46</v>
      </c>
      <c r="C13" s="28" t="s">
        <v>57</v>
      </c>
      <c r="D13" s="27" t="s">
        <v>58</v>
      </c>
      <c r="E13" s="29">
        <v>9</v>
      </c>
      <c r="F13" s="30">
        <f t="shared" si="0"/>
        <v>55</v>
      </c>
      <c r="G13" s="31">
        <f t="shared" si="1"/>
        <v>5.5000000000000007E-2</v>
      </c>
      <c r="H13" s="30">
        <v>60</v>
      </c>
      <c r="I13" s="30">
        <v>50</v>
      </c>
      <c r="J13" s="30">
        <v>60</v>
      </c>
      <c r="K13" s="30">
        <v>100</v>
      </c>
      <c r="L13" s="30">
        <f t="shared" si="2"/>
        <v>270</v>
      </c>
      <c r="M13" s="31">
        <f t="shared" si="3"/>
        <v>0.1542857142857143</v>
      </c>
      <c r="N13" s="30">
        <v>19</v>
      </c>
      <c r="O13" s="30">
        <v>25</v>
      </c>
      <c r="P13" s="30">
        <v>19</v>
      </c>
      <c r="Q13" s="30">
        <v>25</v>
      </c>
      <c r="R13" s="30">
        <f t="shared" si="4"/>
        <v>88</v>
      </c>
      <c r="S13" s="31">
        <f t="shared" si="5"/>
        <v>0.16761904761904764</v>
      </c>
      <c r="T13" s="30">
        <v>44</v>
      </c>
      <c r="U13" s="31">
        <f t="shared" si="6"/>
        <v>0.36666666666666664</v>
      </c>
      <c r="V13" s="32">
        <f t="shared" si="7"/>
        <v>0.74357142857142855</v>
      </c>
      <c r="W13" s="30">
        <v>54</v>
      </c>
      <c r="X13" s="31">
        <f t="shared" si="8"/>
        <v>0.9</v>
      </c>
      <c r="Y13" s="33">
        <f t="shared" si="9"/>
        <v>0.79571428571428571</v>
      </c>
      <c r="Z13" s="29" t="str">
        <f t="shared" si="10"/>
        <v>PASSED</v>
      </c>
    </row>
    <row r="14" spans="1:26" x14ac:dyDescent="0.25">
      <c r="A14" s="27">
        <v>5</v>
      </c>
      <c r="B14" s="28" t="s">
        <v>46</v>
      </c>
      <c r="C14" s="28" t="s">
        <v>59</v>
      </c>
      <c r="D14" s="27" t="s">
        <v>60</v>
      </c>
      <c r="E14" s="29">
        <v>1</v>
      </c>
      <c r="F14" s="30">
        <f t="shared" si="0"/>
        <v>95</v>
      </c>
      <c r="G14" s="31">
        <f t="shared" si="1"/>
        <v>9.5000000000000001E-2</v>
      </c>
      <c r="H14" s="30">
        <v>100</v>
      </c>
      <c r="I14" s="30">
        <v>50</v>
      </c>
      <c r="J14" s="30">
        <v>100</v>
      </c>
      <c r="K14" s="30">
        <v>90</v>
      </c>
      <c r="L14" s="30">
        <f t="shared" si="2"/>
        <v>340</v>
      </c>
      <c r="M14" s="31">
        <f t="shared" si="3"/>
        <v>0.19428571428571428</v>
      </c>
      <c r="N14" s="30">
        <v>25</v>
      </c>
      <c r="O14" s="30">
        <v>25</v>
      </c>
      <c r="P14" s="30">
        <v>25</v>
      </c>
      <c r="Q14" s="30">
        <v>25</v>
      </c>
      <c r="R14" s="30">
        <f t="shared" si="4"/>
        <v>100</v>
      </c>
      <c r="S14" s="31">
        <f t="shared" si="5"/>
        <v>0.19047619047619047</v>
      </c>
      <c r="T14" s="29">
        <v>42</v>
      </c>
      <c r="U14" s="31">
        <f t="shared" si="6"/>
        <v>0.35</v>
      </c>
      <c r="V14" s="32">
        <f t="shared" si="7"/>
        <v>0.8297619047619047</v>
      </c>
      <c r="W14" s="29">
        <v>20</v>
      </c>
      <c r="X14" s="31">
        <f t="shared" si="8"/>
        <v>0.33333333333333331</v>
      </c>
      <c r="Y14" s="33">
        <f t="shared" si="9"/>
        <v>0.66428571428571426</v>
      </c>
      <c r="Z14" s="29" t="str">
        <f t="shared" si="10"/>
        <v>FAILED</v>
      </c>
    </row>
    <row r="15" spans="1:26" x14ac:dyDescent="0.25">
      <c r="A15" s="27">
        <v>6</v>
      </c>
      <c r="B15" s="28" t="s">
        <v>46</v>
      </c>
      <c r="C15" s="28" t="s">
        <v>61</v>
      </c>
      <c r="D15" s="27" t="s">
        <v>62</v>
      </c>
      <c r="E15" s="29">
        <v>6</v>
      </c>
      <c r="F15" s="30">
        <f t="shared" si="0"/>
        <v>70</v>
      </c>
      <c r="G15" s="31">
        <f t="shared" si="1"/>
        <v>6.9999999999999993E-2</v>
      </c>
      <c r="H15" s="30">
        <v>80</v>
      </c>
      <c r="I15" s="30">
        <v>50</v>
      </c>
      <c r="J15" s="30">
        <v>80</v>
      </c>
      <c r="K15" s="30">
        <v>100</v>
      </c>
      <c r="L15" s="30">
        <f t="shared" si="2"/>
        <v>310</v>
      </c>
      <c r="M15" s="31">
        <f t="shared" si="3"/>
        <v>0.17714285714285716</v>
      </c>
      <c r="N15" s="30">
        <v>23</v>
      </c>
      <c r="O15" s="30">
        <v>25</v>
      </c>
      <c r="P15" s="30">
        <v>23</v>
      </c>
      <c r="Q15" s="30">
        <v>25</v>
      </c>
      <c r="R15" s="30">
        <f t="shared" si="4"/>
        <v>96</v>
      </c>
      <c r="S15" s="31">
        <f t="shared" si="5"/>
        <v>0.18285714285714286</v>
      </c>
      <c r="T15" s="29">
        <v>40</v>
      </c>
      <c r="U15" s="31">
        <f t="shared" si="6"/>
        <v>0.33333333333333331</v>
      </c>
      <c r="V15" s="32">
        <f t="shared" si="7"/>
        <v>0.76333333333333342</v>
      </c>
      <c r="W15" s="29">
        <v>50</v>
      </c>
      <c r="X15" s="31">
        <f t="shared" si="8"/>
        <v>0.83333333333333337</v>
      </c>
      <c r="Y15" s="33">
        <f t="shared" si="9"/>
        <v>0.78666666666666674</v>
      </c>
      <c r="Z15" s="29" t="str">
        <f t="shared" si="10"/>
        <v>PASSED</v>
      </c>
    </row>
    <row r="16" spans="1:26" x14ac:dyDescent="0.25">
      <c r="A16" s="27">
        <v>7</v>
      </c>
      <c r="B16" s="28" t="s">
        <v>46</v>
      </c>
      <c r="C16" s="28" t="s">
        <v>63</v>
      </c>
      <c r="D16" s="27" t="s">
        <v>64</v>
      </c>
      <c r="E16" s="29">
        <v>4</v>
      </c>
      <c r="F16" s="30">
        <f t="shared" si="0"/>
        <v>80</v>
      </c>
      <c r="G16" s="31">
        <f t="shared" si="1"/>
        <v>8.0000000000000016E-2</v>
      </c>
      <c r="H16" s="30">
        <v>90</v>
      </c>
      <c r="I16" s="30">
        <v>50</v>
      </c>
      <c r="J16" s="30">
        <v>90</v>
      </c>
      <c r="K16" s="30">
        <v>100</v>
      </c>
      <c r="L16" s="30">
        <f t="shared" si="2"/>
        <v>330</v>
      </c>
      <c r="M16" s="31">
        <f t="shared" si="3"/>
        <v>0.18857142857142858</v>
      </c>
      <c r="N16" s="30">
        <v>21</v>
      </c>
      <c r="O16" s="30">
        <v>25</v>
      </c>
      <c r="P16" s="30">
        <v>21</v>
      </c>
      <c r="Q16" s="30">
        <v>25</v>
      </c>
      <c r="R16" s="30">
        <f t="shared" si="4"/>
        <v>92</v>
      </c>
      <c r="S16" s="31">
        <f t="shared" si="5"/>
        <v>0.17523809523809525</v>
      </c>
      <c r="T16" s="30">
        <v>38</v>
      </c>
      <c r="U16" s="31">
        <f t="shared" si="6"/>
        <v>0.31666666666666665</v>
      </c>
      <c r="V16" s="32">
        <f t="shared" si="7"/>
        <v>0.76047619047619053</v>
      </c>
      <c r="W16" s="30">
        <v>48</v>
      </c>
      <c r="X16" s="31">
        <f t="shared" si="8"/>
        <v>0.8</v>
      </c>
      <c r="Y16" s="33">
        <f t="shared" si="9"/>
        <v>0.77365079365079359</v>
      </c>
      <c r="Z16" s="29" t="str">
        <f t="shared" si="10"/>
        <v>PASSED</v>
      </c>
    </row>
    <row r="17" spans="1:35" x14ac:dyDescent="0.25">
      <c r="A17" s="27">
        <v>8</v>
      </c>
      <c r="B17" s="28" t="s">
        <v>46</v>
      </c>
      <c r="C17" s="28" t="s">
        <v>65</v>
      </c>
      <c r="D17" s="27" t="s">
        <v>66</v>
      </c>
      <c r="E17" s="29">
        <v>2</v>
      </c>
      <c r="F17" s="30">
        <f t="shared" si="0"/>
        <v>90</v>
      </c>
      <c r="G17" s="31">
        <f t="shared" si="1"/>
        <v>9.0000000000000011E-2</v>
      </c>
      <c r="H17" s="30">
        <v>70</v>
      </c>
      <c r="I17" s="30">
        <v>50</v>
      </c>
      <c r="J17" s="30">
        <v>70</v>
      </c>
      <c r="K17" s="30">
        <v>100</v>
      </c>
      <c r="L17" s="30">
        <f t="shared" si="2"/>
        <v>290</v>
      </c>
      <c r="M17" s="31">
        <f t="shared" si="3"/>
        <v>0.16571428571428573</v>
      </c>
      <c r="N17" s="30">
        <v>19</v>
      </c>
      <c r="O17" s="30">
        <v>25</v>
      </c>
      <c r="P17" s="30">
        <v>19</v>
      </c>
      <c r="Q17" s="30">
        <v>25</v>
      </c>
      <c r="R17" s="30">
        <f t="shared" si="4"/>
        <v>88</v>
      </c>
      <c r="S17" s="31">
        <f t="shared" si="5"/>
        <v>0.16761904761904764</v>
      </c>
      <c r="T17" s="29">
        <v>36</v>
      </c>
      <c r="U17" s="31">
        <f t="shared" si="6"/>
        <v>0.3</v>
      </c>
      <c r="V17" s="32">
        <f t="shared" si="7"/>
        <v>0.72333333333333338</v>
      </c>
      <c r="W17" s="29">
        <v>46</v>
      </c>
      <c r="X17" s="31">
        <f t="shared" si="8"/>
        <v>0.76666666666666672</v>
      </c>
      <c r="Y17" s="33">
        <f t="shared" si="9"/>
        <v>0.73777777777777775</v>
      </c>
      <c r="Z17" s="29" t="str">
        <f t="shared" si="10"/>
        <v>FAILED</v>
      </c>
    </row>
    <row r="18" spans="1:35" x14ac:dyDescent="0.25">
      <c r="A18" s="27">
        <v>9</v>
      </c>
      <c r="B18" s="28" t="s">
        <v>46</v>
      </c>
      <c r="C18" s="28" t="s">
        <v>67</v>
      </c>
      <c r="D18" s="27" t="s">
        <v>68</v>
      </c>
      <c r="E18" s="29">
        <v>4</v>
      </c>
      <c r="F18" s="30">
        <f t="shared" si="0"/>
        <v>80</v>
      </c>
      <c r="G18" s="31">
        <f t="shared" si="1"/>
        <v>8.0000000000000016E-2</v>
      </c>
      <c r="H18" s="30">
        <v>60</v>
      </c>
      <c r="I18" s="30">
        <v>100</v>
      </c>
      <c r="J18" s="30">
        <v>60</v>
      </c>
      <c r="K18" s="30">
        <v>100</v>
      </c>
      <c r="L18" s="30">
        <f t="shared" si="2"/>
        <v>320</v>
      </c>
      <c r="M18" s="31">
        <f t="shared" si="3"/>
        <v>0.18285714285714286</v>
      </c>
      <c r="N18" s="30">
        <v>25</v>
      </c>
      <c r="O18" s="30">
        <v>25</v>
      </c>
      <c r="P18" s="30">
        <v>25</v>
      </c>
      <c r="Q18" s="30">
        <v>25</v>
      </c>
      <c r="R18" s="30">
        <f t="shared" si="4"/>
        <v>100</v>
      </c>
      <c r="S18" s="31">
        <f t="shared" si="5"/>
        <v>0.19047619047619047</v>
      </c>
      <c r="T18" s="29">
        <v>50</v>
      </c>
      <c r="U18" s="31">
        <f t="shared" si="6"/>
        <v>0.41666666666666669</v>
      </c>
      <c r="V18" s="32">
        <f t="shared" si="7"/>
        <v>0.87000000000000011</v>
      </c>
      <c r="W18" s="29">
        <v>44</v>
      </c>
      <c r="X18" s="31">
        <f t="shared" si="8"/>
        <v>0.73333333333333328</v>
      </c>
      <c r="Y18" s="33">
        <f t="shared" si="9"/>
        <v>0.82444444444444454</v>
      </c>
      <c r="Z18" s="29" t="str">
        <f t="shared" si="10"/>
        <v>PASSED</v>
      </c>
    </row>
    <row r="19" spans="1:35" x14ac:dyDescent="0.25">
      <c r="A19" s="27">
        <v>10</v>
      </c>
      <c r="B19" s="28" t="s">
        <v>46</v>
      </c>
      <c r="C19" s="28" t="s">
        <v>69</v>
      </c>
      <c r="D19" s="27" t="s">
        <v>70</v>
      </c>
      <c r="E19" s="29">
        <v>8</v>
      </c>
      <c r="F19" s="30">
        <f t="shared" si="0"/>
        <v>60</v>
      </c>
      <c r="G19" s="31">
        <f t="shared" si="1"/>
        <v>0.06</v>
      </c>
      <c r="H19" s="30">
        <v>100</v>
      </c>
      <c r="I19" s="30">
        <v>50</v>
      </c>
      <c r="J19" s="30">
        <v>100</v>
      </c>
      <c r="K19" s="30">
        <v>100</v>
      </c>
      <c r="L19" s="30">
        <f t="shared" si="2"/>
        <v>350</v>
      </c>
      <c r="M19" s="31">
        <f t="shared" si="3"/>
        <v>0.2</v>
      </c>
      <c r="N19" s="30">
        <v>23</v>
      </c>
      <c r="O19" s="30">
        <v>25</v>
      </c>
      <c r="P19" s="30">
        <v>23</v>
      </c>
      <c r="Q19" s="30">
        <v>25</v>
      </c>
      <c r="R19" s="30">
        <f t="shared" si="4"/>
        <v>96</v>
      </c>
      <c r="S19" s="31">
        <f t="shared" si="5"/>
        <v>0.18285714285714286</v>
      </c>
      <c r="T19" s="30">
        <v>32</v>
      </c>
      <c r="U19" s="31">
        <f t="shared" si="6"/>
        <v>0.26666666666666666</v>
      </c>
      <c r="V19" s="32">
        <f t="shared" si="7"/>
        <v>0.70952380952380945</v>
      </c>
      <c r="W19" s="30">
        <v>42</v>
      </c>
      <c r="X19" s="31">
        <f t="shared" si="8"/>
        <v>0.7</v>
      </c>
      <c r="Y19" s="33">
        <f t="shared" si="9"/>
        <v>0.70634920634920617</v>
      </c>
      <c r="Z19" s="29" t="str">
        <f t="shared" si="10"/>
        <v>FAILED</v>
      </c>
    </row>
    <row r="20" spans="1:35" x14ac:dyDescent="0.25">
      <c r="A20" s="27">
        <v>11</v>
      </c>
      <c r="B20" s="28" t="s">
        <v>46</v>
      </c>
      <c r="C20" s="28" t="s">
        <v>71</v>
      </c>
      <c r="D20" s="27" t="s">
        <v>72</v>
      </c>
      <c r="E20" s="29">
        <v>9</v>
      </c>
      <c r="F20" s="30">
        <f t="shared" si="0"/>
        <v>55</v>
      </c>
      <c r="G20" s="31">
        <f t="shared" si="1"/>
        <v>5.5000000000000007E-2</v>
      </c>
      <c r="H20" s="30">
        <v>80</v>
      </c>
      <c r="I20" s="30">
        <v>50</v>
      </c>
      <c r="J20" s="30">
        <v>80</v>
      </c>
      <c r="K20" s="30">
        <v>100</v>
      </c>
      <c r="L20" s="30">
        <f t="shared" si="2"/>
        <v>310</v>
      </c>
      <c r="M20" s="31">
        <f t="shared" si="3"/>
        <v>0.17714285714285716</v>
      </c>
      <c r="N20" s="30">
        <v>21</v>
      </c>
      <c r="O20" s="30">
        <v>25</v>
      </c>
      <c r="P20" s="30">
        <v>21</v>
      </c>
      <c r="Q20" s="30">
        <v>25</v>
      </c>
      <c r="R20" s="30">
        <f t="shared" si="4"/>
        <v>92</v>
      </c>
      <c r="S20" s="31">
        <f t="shared" si="5"/>
        <v>0.17523809523809525</v>
      </c>
      <c r="T20" s="29">
        <v>30</v>
      </c>
      <c r="U20" s="31">
        <f t="shared" si="6"/>
        <v>0.25</v>
      </c>
      <c r="V20" s="32">
        <f t="shared" si="7"/>
        <v>0.6573809523809524</v>
      </c>
      <c r="W20" s="29">
        <v>40</v>
      </c>
      <c r="X20" s="31">
        <f t="shared" si="8"/>
        <v>0.66666666666666663</v>
      </c>
      <c r="Y20" s="33">
        <f t="shared" si="9"/>
        <v>0.66047619047619044</v>
      </c>
      <c r="Z20" s="29" t="str">
        <f t="shared" si="10"/>
        <v>FAILED</v>
      </c>
    </row>
    <row r="21" spans="1:35" x14ac:dyDescent="0.25">
      <c r="A21" s="27">
        <v>12</v>
      </c>
      <c r="B21" s="28" t="s">
        <v>46</v>
      </c>
      <c r="C21" s="28" t="s">
        <v>73</v>
      </c>
      <c r="D21" s="27" t="s">
        <v>74</v>
      </c>
      <c r="E21" s="29">
        <v>1</v>
      </c>
      <c r="F21" s="30">
        <f t="shared" si="0"/>
        <v>95</v>
      </c>
      <c r="G21" s="31">
        <f t="shared" si="1"/>
        <v>9.5000000000000001E-2</v>
      </c>
      <c r="H21" s="30">
        <v>90</v>
      </c>
      <c r="I21" s="30">
        <v>50</v>
      </c>
      <c r="J21" s="30">
        <v>90</v>
      </c>
      <c r="K21" s="30">
        <v>100</v>
      </c>
      <c r="L21" s="30">
        <f t="shared" si="2"/>
        <v>330</v>
      </c>
      <c r="M21" s="31">
        <f t="shared" si="3"/>
        <v>0.18857142857142858</v>
      </c>
      <c r="N21" s="30">
        <v>19</v>
      </c>
      <c r="O21" s="30">
        <v>25</v>
      </c>
      <c r="P21" s="30">
        <v>19</v>
      </c>
      <c r="Q21" s="30">
        <v>25</v>
      </c>
      <c r="R21" s="30">
        <f t="shared" si="4"/>
        <v>88</v>
      </c>
      <c r="S21" s="31">
        <f t="shared" si="5"/>
        <v>0.16761904761904764</v>
      </c>
      <c r="T21" s="29">
        <v>35</v>
      </c>
      <c r="U21" s="31">
        <f t="shared" si="6"/>
        <v>0.29166666666666669</v>
      </c>
      <c r="V21" s="32">
        <f t="shared" si="7"/>
        <v>0.74285714285714288</v>
      </c>
      <c r="W21" s="29">
        <v>50</v>
      </c>
      <c r="X21" s="31">
        <f t="shared" si="8"/>
        <v>0.83333333333333337</v>
      </c>
      <c r="Y21" s="33">
        <f t="shared" si="9"/>
        <v>0.77301587301587305</v>
      </c>
      <c r="Z21" s="29" t="str">
        <f t="shared" si="10"/>
        <v>PASSED</v>
      </c>
    </row>
    <row r="22" spans="1:35" x14ac:dyDescent="0.25">
      <c r="A22" s="27">
        <v>13</v>
      </c>
      <c r="B22" s="28" t="s">
        <v>46</v>
      </c>
      <c r="C22" s="28" t="s">
        <v>75</v>
      </c>
      <c r="D22" s="27" t="s">
        <v>76</v>
      </c>
      <c r="E22" s="29">
        <v>7</v>
      </c>
      <c r="F22" s="30">
        <f t="shared" si="0"/>
        <v>65</v>
      </c>
      <c r="G22" s="31">
        <f t="shared" si="1"/>
        <v>6.5000000000000002E-2</v>
      </c>
      <c r="H22" s="30">
        <v>90</v>
      </c>
      <c r="I22" s="30">
        <v>50</v>
      </c>
      <c r="J22" s="30">
        <v>70</v>
      </c>
      <c r="K22" s="30">
        <v>100</v>
      </c>
      <c r="L22" s="30">
        <f t="shared" si="2"/>
        <v>310</v>
      </c>
      <c r="M22" s="31">
        <f t="shared" si="3"/>
        <v>0.17714285714285716</v>
      </c>
      <c r="N22" s="30">
        <v>25</v>
      </c>
      <c r="O22" s="30">
        <v>25</v>
      </c>
      <c r="P22" s="30">
        <v>25</v>
      </c>
      <c r="Q22" s="30">
        <v>25</v>
      </c>
      <c r="R22" s="30">
        <f t="shared" si="4"/>
        <v>100</v>
      </c>
      <c r="S22" s="31">
        <f t="shared" si="5"/>
        <v>0.19047619047619047</v>
      </c>
      <c r="T22" s="30">
        <v>26</v>
      </c>
      <c r="U22" s="31">
        <f t="shared" si="6"/>
        <v>0.21666666666666667</v>
      </c>
      <c r="V22" s="32">
        <f t="shared" si="7"/>
        <v>0.64928571428571424</v>
      </c>
      <c r="W22" s="30">
        <v>45</v>
      </c>
      <c r="X22" s="31">
        <f t="shared" si="8"/>
        <v>0.75</v>
      </c>
      <c r="Y22" s="33">
        <f t="shared" si="9"/>
        <v>0.68285714285714283</v>
      </c>
      <c r="Z22" s="29" t="str">
        <f t="shared" si="10"/>
        <v>FAILED</v>
      </c>
    </row>
    <row r="23" spans="1:35" x14ac:dyDescent="0.25">
      <c r="A23" s="27">
        <v>14</v>
      </c>
      <c r="B23" s="28" t="s">
        <v>46</v>
      </c>
      <c r="C23" s="28" t="s">
        <v>77</v>
      </c>
      <c r="D23" s="27" t="s">
        <v>78</v>
      </c>
      <c r="E23" s="29">
        <v>3</v>
      </c>
      <c r="F23" s="30">
        <f t="shared" si="0"/>
        <v>85</v>
      </c>
      <c r="G23" s="31">
        <f t="shared" si="1"/>
        <v>8.5000000000000006E-2</v>
      </c>
      <c r="H23" s="30">
        <v>60</v>
      </c>
      <c r="I23" s="30">
        <v>50</v>
      </c>
      <c r="J23" s="30">
        <v>60</v>
      </c>
      <c r="K23" s="30">
        <v>100</v>
      </c>
      <c r="L23" s="30">
        <f t="shared" si="2"/>
        <v>270</v>
      </c>
      <c r="M23" s="31">
        <f t="shared" si="3"/>
        <v>0.1542857142857143</v>
      </c>
      <c r="N23" s="30">
        <v>23</v>
      </c>
      <c r="O23" s="30">
        <v>25</v>
      </c>
      <c r="P23" s="30">
        <v>23</v>
      </c>
      <c r="Q23" s="30">
        <v>25</v>
      </c>
      <c r="R23" s="30">
        <f t="shared" si="4"/>
        <v>96</v>
      </c>
      <c r="S23" s="31">
        <f t="shared" si="5"/>
        <v>0.18285714285714286</v>
      </c>
      <c r="T23" s="29">
        <v>24</v>
      </c>
      <c r="U23" s="31">
        <f t="shared" si="6"/>
        <v>0.2</v>
      </c>
      <c r="V23" s="32">
        <f t="shared" si="7"/>
        <v>0.62214285714285711</v>
      </c>
      <c r="W23" s="29">
        <v>34</v>
      </c>
      <c r="X23" s="31">
        <f t="shared" si="8"/>
        <v>0.56666666666666665</v>
      </c>
      <c r="Y23" s="33">
        <f t="shared" si="9"/>
        <v>0.60365079365079366</v>
      </c>
      <c r="Z23" s="29" t="str">
        <f t="shared" si="10"/>
        <v>FAILED</v>
      </c>
    </row>
    <row r="24" spans="1:35" x14ac:dyDescent="0.25">
      <c r="A24" s="27">
        <v>15</v>
      </c>
      <c r="B24" s="28" t="s">
        <v>46</v>
      </c>
      <c r="C24" s="28" t="s">
        <v>79</v>
      </c>
      <c r="D24" s="27" t="s">
        <v>80</v>
      </c>
      <c r="E24" s="29">
        <v>7</v>
      </c>
      <c r="F24" s="30">
        <f t="shared" si="0"/>
        <v>65</v>
      </c>
      <c r="G24" s="31">
        <f t="shared" si="1"/>
        <v>6.5000000000000002E-2</v>
      </c>
      <c r="H24" s="30">
        <v>100</v>
      </c>
      <c r="I24" s="30">
        <v>50</v>
      </c>
      <c r="J24" s="30">
        <v>100</v>
      </c>
      <c r="K24" s="30">
        <v>100</v>
      </c>
      <c r="L24" s="30">
        <f t="shared" si="2"/>
        <v>350</v>
      </c>
      <c r="M24" s="31">
        <f t="shared" si="3"/>
        <v>0.2</v>
      </c>
      <c r="N24" s="30">
        <v>21</v>
      </c>
      <c r="O24" s="30">
        <v>25</v>
      </c>
      <c r="P24" s="30">
        <v>21</v>
      </c>
      <c r="Q24" s="30">
        <v>25</v>
      </c>
      <c r="R24" s="30">
        <f t="shared" si="4"/>
        <v>92</v>
      </c>
      <c r="S24" s="31">
        <f t="shared" si="5"/>
        <v>0.17523809523809525</v>
      </c>
      <c r="T24" s="29">
        <v>60</v>
      </c>
      <c r="U24" s="31">
        <f t="shared" si="6"/>
        <v>0.5</v>
      </c>
      <c r="V24" s="32">
        <f t="shared" si="7"/>
        <v>0.94023809523809532</v>
      </c>
      <c r="W24" s="29">
        <v>32</v>
      </c>
      <c r="X24" s="31">
        <f t="shared" si="8"/>
        <v>0.53333333333333333</v>
      </c>
      <c r="Y24" s="33">
        <f t="shared" si="9"/>
        <v>0.80460317460317465</v>
      </c>
      <c r="Z24" s="29" t="str">
        <f t="shared" si="10"/>
        <v>PASSED</v>
      </c>
    </row>
    <row r="25" spans="1:35" x14ac:dyDescent="0.25">
      <c r="A25" s="34"/>
      <c r="B25" s="2"/>
      <c r="C25" s="35"/>
      <c r="D25" s="2"/>
      <c r="E25" s="36"/>
      <c r="F25" s="37"/>
      <c r="G25" s="36"/>
      <c r="H25" s="36"/>
      <c r="I25" s="36"/>
      <c r="J25" s="36"/>
      <c r="K25" s="36"/>
      <c r="L25" s="37"/>
      <c r="M25" s="36"/>
      <c r="N25" s="36"/>
      <c r="O25" s="36"/>
      <c r="P25" s="36" t="s">
        <v>82</v>
      </c>
      <c r="Q25" s="36"/>
      <c r="R25" s="38"/>
      <c r="S25" s="2"/>
      <c r="T25" s="36"/>
      <c r="U25" s="39"/>
      <c r="V25" s="2"/>
      <c r="W25" s="36"/>
      <c r="X25" s="40"/>
      <c r="Y25" s="2"/>
    </row>
    <row r="26" spans="1:35" x14ac:dyDescent="0.25">
      <c r="B26" s="34"/>
      <c r="C26" s="34"/>
      <c r="D26" s="34"/>
      <c r="E26" s="2"/>
      <c r="G26" s="37"/>
      <c r="H26" s="2"/>
      <c r="I26" s="2"/>
      <c r="J26" s="2"/>
      <c r="K26" s="2"/>
      <c r="L26" s="2"/>
      <c r="M26" s="37"/>
      <c r="N26" s="36"/>
      <c r="O26" s="2"/>
      <c r="P26" s="2"/>
      <c r="Q26" s="2"/>
      <c r="R26" s="2"/>
      <c r="S26" s="38"/>
      <c r="AB26" s="2"/>
    </row>
    <row r="27" spans="1:35" x14ac:dyDescent="0.25">
      <c r="G27" s="41"/>
      <c r="M27" s="41"/>
      <c r="T27" s="71" t="s">
        <v>47</v>
      </c>
      <c r="U27" s="72"/>
      <c r="V27" s="67">
        <f>AVERAGE(V10:V24)</f>
        <v>0.74799999999999989</v>
      </c>
      <c r="W27" s="71" t="s">
        <v>47</v>
      </c>
      <c r="X27" s="72"/>
      <c r="Y27" s="67">
        <f>AVERAGE(Y10:Y24)</f>
        <v>0.73237037037037045</v>
      </c>
    </row>
    <row r="28" spans="1:35" ht="25.9" customHeight="1" x14ac:dyDescent="0.25">
      <c r="C28" s="45"/>
      <c r="D28" s="45"/>
      <c r="G28" s="43"/>
      <c r="H28" s="44"/>
      <c r="J28" s="45"/>
      <c r="K28" s="45"/>
      <c r="T28" s="73"/>
      <c r="U28" s="74"/>
      <c r="V28" s="68"/>
      <c r="W28" s="73"/>
      <c r="X28" s="74"/>
      <c r="Y28" s="68"/>
    </row>
    <row r="29" spans="1:35" ht="25.9" customHeight="1" x14ac:dyDescent="0.25">
      <c r="B29" s="48"/>
      <c r="C29" s="49"/>
      <c r="G29" s="43"/>
      <c r="H29" s="50"/>
      <c r="T29" s="69" t="s">
        <v>48</v>
      </c>
      <c r="U29" s="70"/>
      <c r="V29" s="47">
        <f>MIN(V10:V24)</f>
        <v>0.62214285714285711</v>
      </c>
      <c r="W29" s="69" t="s">
        <v>48</v>
      </c>
      <c r="X29" s="70"/>
      <c r="Y29" s="47">
        <f>MIN(Y10:Y24)</f>
        <v>0.53825396825396821</v>
      </c>
    </row>
    <row r="30" spans="1:35" ht="25.9" customHeight="1" x14ac:dyDescent="0.25">
      <c r="G30" s="43"/>
      <c r="H30" s="51"/>
      <c r="T30" s="69" t="s">
        <v>49</v>
      </c>
      <c r="U30" s="70"/>
      <c r="V30" s="47">
        <f>MAX(V10:V24)</f>
        <v>0.94023809523809532</v>
      </c>
      <c r="W30" s="69" t="s">
        <v>49</v>
      </c>
      <c r="X30" s="70"/>
      <c r="Y30" s="47">
        <f>MAX(Y10:Y24)</f>
        <v>0.85492063492063508</v>
      </c>
    </row>
    <row r="31" spans="1:35" ht="25.9" customHeight="1" x14ac:dyDescent="0.25">
      <c r="G31" s="43"/>
      <c r="H31" s="51"/>
      <c r="T31" s="69" t="s">
        <v>50</v>
      </c>
      <c r="U31" s="70"/>
      <c r="V31" s="52">
        <f>COUNT(V10:V24)</f>
        <v>15</v>
      </c>
      <c r="W31" s="69" t="s">
        <v>50</v>
      </c>
      <c r="X31" s="70"/>
      <c r="Y31" s="52">
        <f>COUNT(Y10:Y24)</f>
        <v>15</v>
      </c>
      <c r="AD31" s="3"/>
      <c r="AH31" s="3"/>
    </row>
    <row r="32" spans="1:35" ht="25.9" customHeight="1" x14ac:dyDescent="0.25">
      <c r="G32" s="43"/>
      <c r="H32" s="51"/>
      <c r="AD32" s="3"/>
      <c r="AE32" s="53"/>
      <c r="AH32" s="3"/>
      <c r="AI32" s="53"/>
    </row>
    <row r="33" spans="6:25" ht="25.9" customHeight="1" x14ac:dyDescent="0.25">
      <c r="G33" s="43"/>
      <c r="H33" s="51"/>
      <c r="V33" s="53"/>
      <c r="Y33" s="53"/>
    </row>
    <row r="34" spans="6:25" ht="25.9" customHeight="1" x14ac:dyDescent="0.25">
      <c r="G34" s="43"/>
      <c r="H34" s="51"/>
      <c r="V34" s="53"/>
      <c r="Y34" s="53"/>
    </row>
    <row r="35" spans="6:25" ht="25.9" customHeight="1" x14ac:dyDescent="0.25">
      <c r="G35" s="43"/>
      <c r="H35" s="51"/>
    </row>
    <row r="36" spans="6:25" ht="25.9" customHeight="1" x14ac:dyDescent="0.25">
      <c r="G36" s="43"/>
      <c r="H36" s="51"/>
    </row>
    <row r="37" spans="6:25" ht="28.15" customHeight="1" x14ac:dyDescent="0.25">
      <c r="F37" s="66"/>
      <c r="G37" s="66"/>
      <c r="H37" s="54"/>
    </row>
    <row r="38" spans="6:25" x14ac:dyDescent="0.25">
      <c r="G38" s="43"/>
    </row>
  </sheetData>
  <mergeCells count="44">
    <mergeCell ref="A1:C1"/>
    <mergeCell ref="G1:I1"/>
    <mergeCell ref="J1:P1"/>
    <mergeCell ref="S1:T1"/>
    <mergeCell ref="Y1:Z1"/>
    <mergeCell ref="Y2:Z2"/>
    <mergeCell ref="A3:C3"/>
    <mergeCell ref="F3:Z3"/>
    <mergeCell ref="A4:D6"/>
    <mergeCell ref="E4:F4"/>
    <mergeCell ref="G4:J4"/>
    <mergeCell ref="G5:J5"/>
    <mergeCell ref="E6:Z6"/>
    <mergeCell ref="A2:C2"/>
    <mergeCell ref="H2:J2"/>
    <mergeCell ref="L2:M2"/>
    <mergeCell ref="O2:P2"/>
    <mergeCell ref="S2:T2"/>
    <mergeCell ref="Z7:Z9"/>
    <mergeCell ref="A8:A9"/>
    <mergeCell ref="B8:B9"/>
    <mergeCell ref="C8:C9"/>
    <mergeCell ref="D8:D9"/>
    <mergeCell ref="M8:M9"/>
    <mergeCell ref="S8:S9"/>
    <mergeCell ref="A7:D7"/>
    <mergeCell ref="E7:G7"/>
    <mergeCell ref="H7:M7"/>
    <mergeCell ref="N7:S7"/>
    <mergeCell ref="T7:U7"/>
    <mergeCell ref="W7:X7"/>
    <mergeCell ref="V8:V9"/>
    <mergeCell ref="Y7:Y9"/>
    <mergeCell ref="F37:G37"/>
    <mergeCell ref="Y27:Y28"/>
    <mergeCell ref="T29:U29"/>
    <mergeCell ref="W29:X29"/>
    <mergeCell ref="T30:U30"/>
    <mergeCell ref="W30:X30"/>
    <mergeCell ref="T27:U28"/>
    <mergeCell ref="V27:V28"/>
    <mergeCell ref="W27:X28"/>
    <mergeCell ref="T31:U31"/>
    <mergeCell ref="W31:X31"/>
  </mergeCells>
  <conditionalFormatting sqref="A10:A24">
    <cfRule type="expression" dxfId="4" priority="9">
      <formula>$A$10</formula>
    </cfRule>
  </conditionalFormatting>
  <conditionalFormatting sqref="Y25">
    <cfRule type="containsText" dxfId="3" priority="7" operator="containsText" text="FAILED">
      <formula>NOT(ISERROR(SEARCH("FAILED",Y25)))</formula>
    </cfRule>
    <cfRule type="containsText" dxfId="2" priority="8" operator="containsText" text="PASSED">
      <formula>NOT(ISERROR(SEARCH("PASSED",Y25)))</formula>
    </cfRule>
  </conditionalFormatting>
  <conditionalFormatting sqref="Z10:Z24">
    <cfRule type="containsText" dxfId="1" priority="1" operator="containsText" text="FAILED">
      <formula>NOT(ISERROR(SEARCH("FAILED",Z10)))</formula>
    </cfRule>
    <cfRule type="containsText" dxfId="0" priority="2" operator="containsText" text="PASSED">
      <formula>NOT(ISERROR(SEARCH("PASSED",Z10)))</formula>
    </cfRule>
    <cfRule type="colorScale" priority="3">
      <colorScale>
        <cfvo type="min"/>
        <cfvo type="max"/>
        <color rgb="FFFF0000"/>
        <color rgb="FFFFFF00"/>
      </colorScale>
    </cfRule>
  </conditionalFormatting>
  <pageMargins left="0.16" right="0.12" top="0.44" bottom="0.28000000000000003" header="0.3" footer="0.3"/>
  <pageSetup paperSize="9" scale="7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VLOOK,AVE,MIN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DARWIN MALLARI</dc:creator>
  <cp:lastModifiedBy>ComLab-1 PC-1</cp:lastModifiedBy>
  <cp:lastPrinted>2024-12-05T00:08:14Z</cp:lastPrinted>
  <dcterms:created xsi:type="dcterms:W3CDTF">2024-11-03T03:59:54Z</dcterms:created>
  <dcterms:modified xsi:type="dcterms:W3CDTF">2025-12-09T10:31:47Z</dcterms:modified>
</cp:coreProperties>
</file>